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ha do tempo" sheetId="1" state="visible" r:id="rId3"/>
    <sheet name="Hipóteses" sheetId="2" state="visible" r:id="rId4"/>
    <sheet name="Dados para pedi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<sst xmlns="http://schemas.openxmlformats.org/spreadsheetml/2006/main" count="117" uniqueCount="93">
  <si>
    <t xml:space="preserve">Investigação: hexano de 1,66 L/t no dia 24/11/2022 com a fábrica cheia</t>
  </si>
  <si>
    <t xml:space="preserve">Fonte: esmagadora_modelo.xlsx (aba fato_producao e fato_paradas). Valores em azul vêm da base; o índice é calculado.</t>
  </si>
  <si>
    <t xml:space="preserve">Data</t>
  </si>
  <si>
    <t xml:space="preserve">Evento</t>
  </si>
  <si>
    <t xml:space="preserve">Soja esmagada (t)</t>
  </si>
  <si>
    <t xml:space="preserve">Horas trabalhadas</t>
  </si>
  <si>
    <t xml:space="preserve">Hexano (L)</t>
  </si>
  <si>
    <t xml:space="preserve">Índice de hexano (L/t)</t>
  </si>
  <si>
    <t xml:space="preserve">Leitura</t>
  </si>
  <si>
    <t xml:space="preserve">04 a 18/11</t>
  </si>
  <si>
    <t xml:space="preserve">Fábrica parada por 15 dias (falta de matéria-prima)</t>
  </si>
  <si>
    <t xml:space="preserve">Parada longa favorece o entupimento do ejetor da destilaria</t>
  </si>
  <si>
    <t xml:space="preserve">Falta de energia (externa) (63 min); Falta de matéria-prima (506 min)</t>
  </si>
  <si>
    <t xml:space="preserve">Dia de partida (rodou só parte do dia): índice alto esperado</t>
  </si>
  <si>
    <t xml:space="preserve">Operação normal</t>
  </si>
  <si>
    <t xml:space="preserve">Fábrica cheia, índice normal</t>
  </si>
  <si>
    <t xml:space="preserve">Índice começa a subir</t>
  </si>
  <si>
    <t xml:space="preserve">Subindo</t>
  </si>
  <si>
    <t xml:space="preserve">Pico com fábrica cheia: o problema investigado</t>
  </si>
  <si>
    <t xml:space="preserve">Manutenção preventiva (786 min); Falha mecânica (74 min)</t>
  </si>
  <si>
    <t xml:space="preserve">Manutenção preventiva programada; dia curto, índice alto esperado</t>
  </si>
  <si>
    <t xml:space="preserve">Índice volta a cair após a preventiva</t>
  </si>
  <si>
    <t xml:space="preserve">Falta de matéria-prima (187 min)</t>
  </si>
  <si>
    <t xml:space="preserve">Continua caindo, mas ainda acima de 20 a 22/11</t>
  </si>
  <si>
    <t xml:space="preserve">Índice ponderado de 20 a 22/11 (fábrica cheia, antes da subida)</t>
  </si>
  <si>
    <t xml:space="preserve">Pico do dia 24/11 acima desse índice</t>
  </si>
  <si>
    <t xml:space="preserve">Árvore de hipóteses (4M + Medida)</t>
  </si>
  <si>
    <t xml:space="preserve">Edite a coluna Resultado pela lista. Hipóteses e evidências da análise de 23/10/2026.</t>
  </si>
  <si>
    <t xml:space="preserve">Categoria</t>
  </si>
  <si>
    <t xml:space="preserve">Hipótese</t>
  </si>
  <si>
    <t xml:space="preserve">Dado que confirmaria ou descartaria</t>
  </si>
  <si>
    <t xml:space="preserve">Existe na base?</t>
  </si>
  <si>
    <t xml:space="preserve">Resultado</t>
  </si>
  <si>
    <t xml:space="preserve">Evidência</t>
  </si>
  <si>
    <t xml:space="preserve">Matéria-prima</t>
  </si>
  <si>
    <t xml:space="preserve">Grão muito seco na entrada do processo</t>
  </si>
  <si>
    <t xml:space="preserve">Umidade da soja industrializada no dia 24/11 comparada com 20 a 23/11</t>
  </si>
  <si>
    <t xml:space="preserve">Sim</t>
  </si>
  <si>
    <t xml:space="preserve">Descartada</t>
  </si>
  <si>
    <t xml:space="preserve">Umidade de 10,35% no dia 24/11, dentro da faixa de 10,07% a 10,90% dos dias 20 a 23/11</t>
  </si>
  <si>
    <t xml:space="preserve">Mão de obra</t>
  </si>
  <si>
    <t xml:space="preserve">Impureza muda a densidade da massa e gera variação de carga; operador sem treinamento não ajusta o equipamento</t>
  </si>
  <si>
    <t xml:space="preserve">Impureza da soja industrializada; residual de óleo por turno; equipe do turno</t>
  </si>
  <si>
    <t xml:space="preserve">Em parte</t>
  </si>
  <si>
    <t xml:space="preserve">Impureza de 1,03% no dia 24/11, uma das menores da semana (0,90% a 1,31%). Fator constante não explica pico de um dia. Turno III com residual de 0,75%, contra 0,62% e 0,61% nos turnos I e II</t>
  </si>
  <si>
    <t xml:space="preserve">Método</t>
  </si>
  <si>
    <t xml:space="preserve">Alta velocidade na rosca de descarga do DT</t>
  </si>
  <si>
    <t xml:space="preserve">Velocidade de rotação da rosca; residual de solvente no farelo</t>
  </si>
  <si>
    <t xml:space="preserve">Não</t>
  </si>
  <si>
    <t xml:space="preserve">Não testável</t>
  </si>
  <si>
    <t xml:space="preserve">Base não tem velocidade da rosca nem residual de solvente (só de óleo)</t>
  </si>
  <si>
    <t xml:space="preserve">Máquina</t>
  </si>
  <si>
    <t xml:space="preserve">Ejetor da destilaria entupido ou com passagem de ar</t>
  </si>
  <si>
    <t xml:space="preserve">Tendência do índice nos dias anteriores; medidor de vácuo; ordem de manutenção</t>
  </si>
  <si>
    <t xml:space="preserve">Fortalecida</t>
  </si>
  <si>
    <t xml:space="preserve">Índice subiu de 1,18 para 1,66 L/t de 20 a 24/11 após parada de 15 dias; caiu para 1,37 e 1,31 após a preventiva de 25/11. Falta o registro do vácuo e da ordem de manutenção</t>
  </si>
  <si>
    <t xml:space="preserve">Medida</t>
  </si>
  <si>
    <t xml:space="preserve">PT100 da cabeça do DT descalibrado, lendo acima do real; DT frio perde solvente no farelo</t>
  </si>
  <si>
    <t xml:space="preserve">Aferição do PT100; cronograma de calibração</t>
  </si>
  <si>
    <t xml:space="preserve">Base não tem temperatura do DT nem histórico de calibração</t>
  </si>
  <si>
    <t xml:space="preserve">Resumo</t>
  </si>
  <si>
    <t xml:space="preserve">Confirmada</t>
  </si>
  <si>
    <t xml:space="preserve">Dados para fechar a investigação</t>
  </si>
  <si>
    <t xml:space="preserve">Atualize o Status pela lista à medida que os dados chegarem.</t>
  </si>
  <si>
    <t xml:space="preserve">Dado</t>
  </si>
  <si>
    <t xml:space="preserve">Para qual hipótese</t>
  </si>
  <si>
    <t xml:space="preserve">Área responsável</t>
  </si>
  <si>
    <t xml:space="preserve">Onde costuma estar</t>
  </si>
  <si>
    <t xml:space="preserve">Status</t>
  </si>
  <si>
    <t xml:space="preserve">Ordem de manutenção da preventiva de 25/11/2022: o que foi feito</t>
  </si>
  <si>
    <t xml:space="preserve">Ejetor entupido</t>
  </si>
  <si>
    <t xml:space="preserve">Manutenção</t>
  </si>
  <si>
    <t xml:space="preserve">SAP PM</t>
  </si>
  <si>
    <t xml:space="preserve">Pendente</t>
  </si>
  <si>
    <t xml:space="preserve">Histórico do vácuo da destilaria de 19 a 27/11</t>
  </si>
  <si>
    <t xml:space="preserve">Operação / Instrumentação</t>
  </si>
  <si>
    <t xml:space="preserve">Supervisório (registro de processo)</t>
  </si>
  <si>
    <t xml:space="preserve">Aferição e última calibração do PT100 da cabeça do DT</t>
  </si>
  <si>
    <t xml:space="preserve">PT100 descalibrado</t>
  </si>
  <si>
    <t xml:space="preserve">Instrumentação</t>
  </si>
  <si>
    <t xml:space="preserve">Plano de calibração</t>
  </si>
  <si>
    <t xml:space="preserve">Temperatura da cabeça do DT de 19 a 27/11</t>
  </si>
  <si>
    <t xml:space="preserve">Operação</t>
  </si>
  <si>
    <t xml:space="preserve">Velocidade da rosca de descarga do DT</t>
  </si>
  <si>
    <t xml:space="preserve">Velocidade da rosca</t>
  </si>
  <si>
    <t xml:space="preserve">Supervisório / livro de turno</t>
  </si>
  <si>
    <t xml:space="preserve">Residual de solvente no farelo de 19 a 27/11</t>
  </si>
  <si>
    <t xml:space="preserve">Velocidade da rosca e PT100</t>
  </si>
  <si>
    <t xml:space="preserve">Laboratório</t>
  </si>
  <si>
    <t xml:space="preserve">SAP QM / laudos</t>
  </si>
  <si>
    <t xml:space="preserve">Escala e equipe do turno III no dia 24/11</t>
  </si>
  <si>
    <t xml:space="preserve">Produção</t>
  </si>
  <si>
    <t xml:space="preserve">Livro de turno / RH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</si>
</sst>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;\-#,##0.0;\-"/>
    <numFmt numFmtId="166" formatCode="0.0;\-0.0;\-"/>
    <numFmt numFmtId="167" formatCode="#,##0;\-#,##0;\-"/>
    <numFmt numFmtId="168" formatCode="0.00"/>
    <numFmt numFmtId="169" formatCode="dd/mm/yyyy"/>
    <numFmt numFmtId="170" formatCode="0.0%"/>
    <numFmt numFmtId="171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n">
        <v>0</v>
      </c>
      <c r="D5" s="6" t="n">
        <v>0</v>
      </c>
      <c r="E5" s="7" t="n">
        <v>0</v>
      </c>
      <c r="F5" s="8" t="str">
        <f aca="false">IF(C5&gt;0,E5/C5,"")</f>
        <v/>
      </c>
      <c r="G5" s="4" t="s">
        <v>11</v>
      </c>
    </row>
    <row r="6" customFormat="false" ht="23.85" hidden="false" customHeight="false" outlineLevel="0" collapsed="false">
      <c r="A6" s="9" t="n">
        <v>44884</v>
      </c>
      <c r="B6" s="4" t="s">
        <v>12</v>
      </c>
      <c r="C6" s="5" t="n">
        <v>887.71</v>
      </c>
      <c r="D6" s="6" t="n">
        <v>14.52</v>
      </c>
      <c r="E6" s="7" t="n">
        <v>1410</v>
      </c>
      <c r="F6" s="8" t="n">
        <f aca="false">IF(C6&gt;0,E6/C6,"")</f>
        <v>1.58835655788489</v>
      </c>
      <c r="G6" s="4" t="s">
        <v>13</v>
      </c>
    </row>
    <row r="7" customFormat="false" ht="15" hidden="false" customHeight="false" outlineLevel="0" collapsed="false">
      <c r="A7" s="9" t="n">
        <v>44885</v>
      </c>
      <c r="B7" s="4" t="s">
        <v>14</v>
      </c>
      <c r="C7" s="5" t="n">
        <v>1570.31</v>
      </c>
      <c r="D7" s="6" t="n">
        <v>24</v>
      </c>
      <c r="E7" s="7" t="n">
        <v>1853</v>
      </c>
      <c r="F7" s="8" t="n">
        <f aca="false">IF(C7&gt;0,E7/C7,"")</f>
        <v>1.18002177913915</v>
      </c>
      <c r="G7" s="4" t="s">
        <v>15</v>
      </c>
    </row>
    <row r="8" customFormat="false" ht="15" hidden="false" customHeight="false" outlineLevel="0" collapsed="false">
      <c r="A8" s="9" t="n">
        <v>44886</v>
      </c>
      <c r="B8" s="4" t="s">
        <v>14</v>
      </c>
      <c r="C8" s="5" t="n">
        <v>1366.5</v>
      </c>
      <c r="D8" s="6" t="n">
        <v>24</v>
      </c>
      <c r="E8" s="7" t="n">
        <v>1670</v>
      </c>
      <c r="F8" s="8" t="n">
        <f aca="false">IF(C8&gt;0,E8/C8,"")</f>
        <v>1.2221002561288</v>
      </c>
      <c r="G8" s="4" t="s">
        <v>16</v>
      </c>
    </row>
    <row r="9" customFormat="false" ht="15" hidden="false" customHeight="false" outlineLevel="0" collapsed="false">
      <c r="A9" s="9" t="n">
        <v>44887</v>
      </c>
      <c r="B9" s="4" t="s">
        <v>14</v>
      </c>
      <c r="C9" s="5" t="n">
        <v>1477.83</v>
      </c>
      <c r="D9" s="6" t="n">
        <v>24</v>
      </c>
      <c r="E9" s="7" t="n">
        <v>1846</v>
      </c>
      <c r="F9" s="8" t="n">
        <f aca="false">IF(C9&gt;0,E9/C9,"")</f>
        <v>1.24912879018561</v>
      </c>
      <c r="G9" s="4" t="s">
        <v>17</v>
      </c>
    </row>
    <row r="10" customFormat="false" ht="15" hidden="false" customHeight="false" outlineLevel="0" collapsed="false">
      <c r="A10" s="9" t="n">
        <v>44888</v>
      </c>
      <c r="B10" s="4" t="s">
        <v>14</v>
      </c>
      <c r="C10" s="5" t="n">
        <v>1416.99</v>
      </c>
      <c r="D10" s="6" t="n">
        <v>24</v>
      </c>
      <c r="E10" s="7" t="n">
        <v>1967</v>
      </c>
      <c r="F10" s="8" t="n">
        <f aca="false">IF(C10&gt;0,E10/C10,"")</f>
        <v>1.38815376255302</v>
      </c>
      <c r="G10" s="4" t="s">
        <v>17</v>
      </c>
    </row>
    <row r="11" customFormat="false" ht="15" hidden="false" customHeight="false" outlineLevel="0" collapsed="false">
      <c r="A11" s="10" t="n">
        <v>44889</v>
      </c>
      <c r="B11" s="11" t="s">
        <v>14</v>
      </c>
      <c r="C11" s="12" t="n">
        <v>1507.06</v>
      </c>
      <c r="D11" s="13" t="n">
        <v>24</v>
      </c>
      <c r="E11" s="14" t="n">
        <v>2502</v>
      </c>
      <c r="F11" s="15" t="n">
        <f aca="false">IF(C11&gt;0,E11/C11,"")</f>
        <v>1.66018605762213</v>
      </c>
      <c r="G11" s="11" t="s">
        <v>18</v>
      </c>
    </row>
    <row r="12" customFormat="false" ht="23.85" hidden="false" customHeight="false" outlineLevel="0" collapsed="false">
      <c r="A12" s="9" t="n">
        <v>44890</v>
      </c>
      <c r="B12" s="4" t="s">
        <v>19</v>
      </c>
      <c r="C12" s="5" t="n">
        <v>572.52</v>
      </c>
      <c r="D12" s="6" t="n">
        <v>9.67</v>
      </c>
      <c r="E12" s="7" t="n">
        <v>930</v>
      </c>
      <c r="F12" s="8" t="n">
        <f aca="false">IF(C12&gt;0,E12/C12,"")</f>
        <v>1.62439740096416</v>
      </c>
      <c r="G12" s="4" t="s">
        <v>20</v>
      </c>
    </row>
    <row r="13" customFormat="false" ht="15" hidden="false" customHeight="false" outlineLevel="0" collapsed="false">
      <c r="A13" s="9" t="n">
        <v>44891</v>
      </c>
      <c r="B13" s="4" t="s">
        <v>14</v>
      </c>
      <c r="C13" s="5" t="n">
        <v>1430.76</v>
      </c>
      <c r="D13" s="6" t="n">
        <v>24</v>
      </c>
      <c r="E13" s="7" t="n">
        <v>1956</v>
      </c>
      <c r="F13" s="8" t="n">
        <f aca="false">IF(C13&gt;0,E13/C13,"")</f>
        <v>1.36710559422964</v>
      </c>
      <c r="G13" s="4" t="s">
        <v>21</v>
      </c>
    </row>
    <row r="14" customFormat="false" ht="15" hidden="false" customHeight="false" outlineLevel="0" collapsed="false">
      <c r="A14" s="9" t="n">
        <v>44892</v>
      </c>
      <c r="B14" s="4" t="s">
        <v>22</v>
      </c>
      <c r="C14" s="5" t="n">
        <v>1250.22</v>
      </c>
      <c r="D14" s="6" t="n">
        <v>20.88</v>
      </c>
      <c r="E14" s="7" t="n">
        <v>1639</v>
      </c>
      <c r="F14" s="8" t="n">
        <f aca="false">IF(C14&gt;0,E14/C14,"")</f>
        <v>1.31096926940858</v>
      </c>
      <c r="G14" s="4" t="s">
        <v>23</v>
      </c>
    </row>
    <row r="16" customFormat="false" ht="15" hidden="false" customHeight="false" outlineLevel="0" collapsed="false">
      <c r="B16" s="16" t="s">
        <v>24</v>
      </c>
      <c r="F16" s="17" t="n">
        <f aca="false">SUM(E7:E9)/SUM(C7:C9)</f>
        <v>1.21618070782669</v>
      </c>
    </row>
    <row r="17" customFormat="false" ht="15" hidden="false" customHeight="false" outlineLevel="0" collapsed="false">
      <c r="B17" s="16" t="s">
        <v>25</v>
      </c>
      <c r="F17" s="18" t="n">
        <f aca="false">F11/F16-1</f>
        <v>0.3650817242356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56"/>
  </cols>
  <sheetData>
    <row r="1" customFormat="false" ht="16.1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30" hidden="false" customHeight="true" outlineLevel="0" collapsed="false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</row>
    <row r="5" customFormat="false" ht="61.5" hidden="false" customHeight="true" outlineLevel="0" collapsed="false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</row>
    <row r="6" customFormat="false" ht="61.5" hidden="false" customHeight="true" outlineLevel="0" collapsed="false">
      <c r="A6" s="4" t="s">
        <v>40</v>
      </c>
      <c r="B6" s="4" t="s">
        <v>41</v>
      </c>
      <c r="C6" s="4" t="s">
        <v>42</v>
      </c>
      <c r="D6" s="4" t="s">
        <v>43</v>
      </c>
      <c r="E6" s="4" t="s">
        <v>38</v>
      </c>
      <c r="F6" s="4" t="s">
        <v>44</v>
      </c>
    </row>
    <row r="7" customFormat="false" ht="61.5" hidden="false" customHeight="true" outlineLevel="0" collapsed="false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</row>
    <row r="8" customFormat="false" ht="61.5" hidden="false" customHeight="true" outlineLevel="0" collapsed="false">
      <c r="A8" s="4" t="s">
        <v>51</v>
      </c>
      <c r="B8" s="4" t="s">
        <v>52</v>
      </c>
      <c r="C8" s="4" t="s">
        <v>53</v>
      </c>
      <c r="D8" s="4" t="s">
        <v>43</v>
      </c>
      <c r="E8" s="4" t="s">
        <v>54</v>
      </c>
      <c r="F8" s="4" t="s">
        <v>55</v>
      </c>
    </row>
    <row r="9" customFormat="false" ht="61.5" hidden="false" customHeight="true" outlineLevel="0" collapsed="false">
      <c r="A9" s="4" t="s">
        <v>56</v>
      </c>
      <c r="B9" s="4" t="s">
        <v>57</v>
      </c>
      <c r="C9" s="4" t="s">
        <v>58</v>
      </c>
      <c r="D9" s="4" t="s">
        <v>48</v>
      </c>
      <c r="E9" s="4" t="s">
        <v>49</v>
      </c>
      <c r="F9" s="4" t="s">
        <v>59</v>
      </c>
    </row>
    <row r="12" customFormat="false" ht="15" hidden="false" customHeight="false" outlineLevel="0" collapsed="false">
      <c r="A12" s="16" t="s">
        <v>60</v>
      </c>
    </row>
    <row r="13" customFormat="false" ht="15" hidden="false" customHeight="false" outlineLevel="0" collapsed="false">
      <c r="A13" s="19" t="s">
        <v>61</v>
      </c>
      <c r="B13" s="20" t="n">
        <f aca="false">COUNTIF($E$5:$E$30,"Confirmada")</f>
        <v>0</v>
      </c>
    </row>
    <row r="14" customFormat="false" ht="15" hidden="false" customHeight="false" outlineLevel="0" collapsed="false">
      <c r="A14" s="19" t="s">
        <v>54</v>
      </c>
      <c r="B14" s="20" t="n">
        <f aca="false">COUNTIF($E$5:$E$30,"Fortalecida")</f>
        <v>1</v>
      </c>
    </row>
    <row r="15" customFormat="false" ht="15" hidden="false" customHeight="false" outlineLevel="0" collapsed="false">
      <c r="A15" s="19" t="s">
        <v>38</v>
      </c>
      <c r="B15" s="20" t="n">
        <f aca="false">COUNTIF($E$5:$E$30,"Descartada")</f>
        <v>2</v>
      </c>
    </row>
    <row r="16" customFormat="false" ht="15" hidden="false" customHeight="false" outlineLevel="0" collapsed="false">
      <c r="A16" s="19" t="s">
        <v>49</v>
      </c>
      <c r="B16" s="20" t="n">
        <f aca="false">COUNTIF($E$5:$E$30,"Não testável")</f>
        <v>2</v>
      </c>
    </row>
  </sheetData>
  <dataValidations count="2">
    <dataValidation allowBlank="true" errorStyle="stop" operator="between" showDropDown="false" showErrorMessage="false" showInputMessage="false" sqref="E5:E30" type="list">
      <formula1>"Confirmada,Fortalecida,Inconclusiva,Descartada,Não testável"</formula1>
      <formula2>0</formula2>
    </dataValidation>
    <dataValidation allowBlank="true" errorStyle="stop" operator="between" showDropDown="false" showErrorMessage="false" showInputMessage="false" sqref="D5:D30" type="list">
      <formula1>"Sim,Em parte,Não"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30" hidden="false" customHeight="true" outlineLevel="0" collapsed="false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</row>
    <row r="5" customFormat="false" ht="31.5" hidden="false" customHeight="true" outlineLevel="0" collapsed="false">
      <c r="A5" s="4" t="s">
        <v>69</v>
      </c>
      <c r="B5" s="4" t="s">
        <v>70</v>
      </c>
      <c r="C5" s="4" t="s">
        <v>71</v>
      </c>
      <c r="D5" s="4" t="s">
        <v>72</v>
      </c>
      <c r="E5" s="4" t="s">
        <v>73</v>
      </c>
    </row>
    <row r="6" customFormat="false" ht="31.5" hidden="false" customHeight="true" outlineLevel="0" collapsed="false">
      <c r="A6" s="4" t="s">
        <v>74</v>
      </c>
      <c r="B6" s="4" t="s">
        <v>70</v>
      </c>
      <c r="C6" s="4" t="s">
        <v>75</v>
      </c>
      <c r="D6" s="4" t="s">
        <v>76</v>
      </c>
      <c r="E6" s="4" t="s">
        <v>73</v>
      </c>
    </row>
    <row r="7" customFormat="false" ht="31.5" hidden="false" customHeight="true" outlineLevel="0" collapsed="false">
      <c r="A7" s="4" t="s">
        <v>77</v>
      </c>
      <c r="B7" s="4" t="s">
        <v>78</v>
      </c>
      <c r="C7" s="4" t="s">
        <v>79</v>
      </c>
      <c r="D7" s="4" t="s">
        <v>80</v>
      </c>
      <c r="E7" s="4" t="s">
        <v>73</v>
      </c>
    </row>
    <row r="8" customFormat="false" ht="31.5" hidden="false" customHeight="true" outlineLevel="0" collapsed="false">
      <c r="A8" s="4" t="s">
        <v>81</v>
      </c>
      <c r="B8" s="4" t="s">
        <v>78</v>
      </c>
      <c r="C8" s="4" t="s">
        <v>82</v>
      </c>
      <c r="D8" s="4" t="s">
        <v>76</v>
      </c>
      <c r="E8" s="4" t="s">
        <v>73</v>
      </c>
    </row>
    <row r="9" customFormat="false" ht="31.5" hidden="false" customHeight="true" outlineLevel="0" collapsed="false">
      <c r="A9" s="4" t="s">
        <v>83</v>
      </c>
      <c r="B9" s="4" t="s">
        <v>84</v>
      </c>
      <c r="C9" s="4" t="s">
        <v>82</v>
      </c>
      <c r="D9" s="4" t="s">
        <v>85</v>
      </c>
      <c r="E9" s="4" t="s">
        <v>73</v>
      </c>
    </row>
    <row r="10" customFormat="false" ht="31.5" hidden="false" customHeight="true" outlineLevel="0" collapsed="false">
      <c r="A10" s="4" t="s">
        <v>86</v>
      </c>
      <c r="B10" s="4" t="s">
        <v>87</v>
      </c>
      <c r="C10" s="4" t="s">
        <v>88</v>
      </c>
      <c r="D10" s="4" t="s">
        <v>89</v>
      </c>
      <c r="E10" s="4" t="s">
        <v>73</v>
      </c>
    </row>
    <row r="11" customFormat="false" ht="31.5" hidden="false" customHeight="true" outlineLevel="0" collapsed="false">
      <c r="A11" s="4" t="s">
        <v>90</v>
      </c>
      <c r="B11" s="4" t="s">
        <v>40</v>
      </c>
      <c r="C11" s="4" t="s">
        <v>91</v>
      </c>
      <c r="D11" s="4" t="s">
        <v>92</v>
      </c>
      <c r="E11" s="4" t="s">
        <v>73</v>
      </c>
    </row>
  </sheetData>
  <dataValidations count="1">
    <dataValidation allowBlank="true" errorStyle="stop" operator="between" showDropDown="false" showErrorMessage="false" showInputMessage="false" sqref="E5:E30" type="list">
      <formula1>"Pendente,Solicitado,Recebido"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2026-10-23T20:22:48Z</dcterms:created>
  <dc:creator>openpyxl</dc:creator>
  <dc:description/>
  <dc:language>en-US</dc:language>
  <cp:lastModifiedBy/>
  <dcterms:modified xsi:type="dcterms:W3CDTF">2026-10-23T20:22:48Z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