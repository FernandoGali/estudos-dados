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ferna\Downloads\"/>
    </mc:Choice>
  </mc:AlternateContent>
  <xr:revisionPtr revIDLastSave="0" documentId="13_ncr:1_{6704E711-701C-40F5-996A-568C2E7EA0B7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Opções" sheetId="1" r:id="rId1"/>
    <sheet name="Cálculo opção 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8" i="2" l="1"/>
  <c r="B9" i="2" s="1"/>
  <c r="B10" i="2" l="1"/>
  <c r="B11" i="2" s="1"/>
  <c r="E8" i="1"/>
</calcChain>
</file>

<file path=xl/sharedStrings.xml><?xml version="1.0" encoding="utf-8"?>
<sst xmlns="http://schemas.openxmlformats.org/spreadsheetml/2006/main" count="42" uniqueCount="42">
  <si>
    <t>Tópico 5, Parte B: o que fazer com a parada de novembro de 2022</t>
  </si>
  <si>
    <t>Cenário: em 24/10/2022, a previsão diz que a soja acaba por volta de 02/11 e a fábrica deve ficar parada cerca de 15 dias.</t>
  </si>
  <si>
    <t>Legenda: preencha as células amarelas. A linha cinza é só um exemplo de formato.</t>
  </si>
  <si>
    <t>Opção</t>
  </si>
  <si>
    <t>Perguntas para guiar</t>
  </si>
  <si>
    <t>Ganho</t>
  </si>
  <si>
    <t>Custo ou risco</t>
  </si>
  <si>
    <t>Número de apoio</t>
  </si>
  <si>
    <t>Exemplo: antecipar a entressafra</t>
  </si>
  <si>
    <t>(exemplo de formato)</t>
  </si>
  <si>
    <t>Concentra as manutenções grandes numa parada só</t>
  </si>
  <si>
    <t>Perde produção de dezembro; depende do mercado aceitar menos farelo</t>
  </si>
  <si>
    <t>cerca de 1.440 t/dia de produção perdida</t>
  </si>
  <si>
    <t>1. Aceitar a parada e usar o tempo para a preventiva e as manutenções pendentes</t>
  </si>
  <si>
    <t>Quanto de produção se perde em 15 dias parados? O que se ganha fazendo a manutenção agora, e não com a fábrica rodando?</t>
  </si>
  <si>
    <t>2. Comprar soja no mercado à vista para não parar</t>
  </si>
  <si>
    <t>Soja à vista costuma sair mais cara que a contratada? Há caminhão, armazém e prazo para receber tudo a tempo? Quantas toneladas seriam? (aba Cálculo)</t>
  </si>
  <si>
    <t>3. Reduzir a carga da fábrica para o estoque durar mais</t>
  </si>
  <si>
    <t>Lembra do Tópico 2? O que acontece com o vapor, a energia e o hexano por tonelada quando a fábrica roda abaixo da carga?</t>
  </si>
  <si>
    <t>Opção escolhida para a Parte C:</t>
  </si>
  <si>
    <t>Opção 2: quanta soja comprar para não parar</t>
  </si>
  <si>
    <t>Valores em azul vêm do Tópico 4 (média de 18 a 24/10/2022, base Esmagadora Modelo). Pode alterar para testar cenários.</t>
  </si>
  <si>
    <t>Esmagamento médio (t/dia)</t>
  </si>
  <si>
    <t>Tópico 4, aba fato_producao</t>
  </si>
  <si>
    <t>Recebimento líquido médio (t/dia)</t>
  </si>
  <si>
    <t>Tópico 4, aba fato_recebimento</t>
  </si>
  <si>
    <t>Dias de parada a evitar</t>
  </si>
  <si>
    <t>Previsão do Tópico 4 (04 a 18/11)</t>
  </si>
  <si>
    <t>Carga média por caminhão (t)</t>
  </si>
  <si>
    <t>Média aproximada da base</t>
  </si>
  <si>
    <t>Déficit diário (t/dia)</t>
  </si>
  <si>
    <t>Soja necessária para não parar (t)</t>
  </si>
  <si>
    <t>Equivalente em caminhões</t>
  </si>
  <si>
    <t>Caminhões por dia, a mais que o normal</t>
  </si>
  <si>
    <t>Use esses números para julgar se a opção 2 é viável: há fornecedores, transporte e armazém para isso em poucos dias?</t>
  </si>
  <si>
    <t>antecipar entressafra, e já fazer manutenções obrigatórias na extração</t>
  </si>
  <si>
    <t>Quantidade de obras programadas</t>
  </si>
  <si>
    <t>15 dias de produção a menos, são 4300 ton de óleo e 15550 ton de farelo a menos no estoque</t>
  </si>
  <si>
    <t>Considerando que a parada foi por falta de matéria-prima, tem armazem disponível, o ganho seria na produção</t>
  </si>
  <si>
    <t>o risco é pagar mais caro e ou os problemas se agravarem e demandarem uma manutenção ainda maior</t>
  </si>
  <si>
    <t>você estende seus dias de operação que é melhor que fábrica parada, mas depende do quanto é a redução</t>
  </si>
  <si>
    <t>operar fora da carga nominal faz com que os consumos aumentem de insumos, elevando o custo de produção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</si>
</sst>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&quot; t de soja&quot;"/>
  </numFmts>
  <fonts count="8" x14ac:knownFonts="1">
    <font>
      <sz val="11"/>
      <color theme="1"/>
      <name val="Calibri"/>
      <family val="2"/>
      <charset val="1"/>
    </font>
    <font>
      <b/>
      <sz val="13"/>
      <name val="Arial"/>
      <charset val="1"/>
    </font>
    <font>
      <sz val="10"/>
      <name val="Arial"/>
      <charset val="1"/>
    </font>
    <font>
      <i/>
      <sz val="9"/>
      <color rgb="FF595959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sz val="10"/>
      <color rgb="FF008000"/>
      <name val="Arial"/>
      <charset val="1"/>
    </font>
    <font>
      <sz val="10"/>
      <color rgb="FF0000FF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5A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vertical="center" wrapText="1"/>
    </xf>
    <xf numFmtId="0" fontId="3" fillId="3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164" fontId="6" fillId="4" borderId="1" xfId="0" applyNumberFormat="1" applyFont="1" applyFill="1" applyBorder="1" applyAlignment="1">
      <alignment vertical="top" wrapText="1"/>
    </xf>
    <xf numFmtId="0" fontId="5" fillId="0" borderId="0" xfId="0" applyFont="1"/>
    <xf numFmtId="0" fontId="0" fillId="4" borderId="1" xfId="0" applyFill="1" applyBorder="1"/>
    <xf numFmtId="4" fontId="7" fillId="0" borderId="0" xfId="0" applyNumberFormat="1" applyFont="1"/>
    <xf numFmtId="3" fontId="7" fillId="0" borderId="0" xfId="0" applyNumberFormat="1" applyFont="1"/>
    <xf numFmtId="4" fontId="0" fillId="0" borderId="0" xfId="0" applyNumberFormat="1"/>
    <xf numFmtId="3" fontId="5" fillId="0" borderId="0" xfId="0" applyNumberFormat="1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5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zoomScaleNormal="100" workbookViewId="0">
      <pane ySplit="5" topLeftCell="A6" activePane="bottomLeft" state="frozen"/>
      <selection pane="bottomLeft" activeCell="E9" sqref="E9"/>
    </sheetView>
  </sheetViews>
  <sheetFormatPr defaultColWidth="8.7109375" defaultRowHeight="15" x14ac:dyDescent="0.25"/>
  <cols>
    <col min="1" max="1" width="34" customWidth="1"/>
    <col min="2" max="2" width="52" customWidth="1"/>
    <col min="3" max="3" width="40" customWidth="1"/>
    <col min="4" max="4" width="45" customWidth="1"/>
    <col min="5" max="5" width="26" customWidth="1"/>
  </cols>
  <sheetData>
    <row r="1" spans="1:5" ht="16.5" x14ac:dyDescent="0.25">
      <c r="A1" s="1" t="s">
        <v>0</v>
      </c>
    </row>
    <row r="2" spans="1:5" x14ac:dyDescent="0.25">
      <c r="A2" s="2" t="s">
        <v>1</v>
      </c>
    </row>
    <row r="3" spans="1:5" x14ac:dyDescent="0.25">
      <c r="A3" s="3" t="s">
        <v>2</v>
      </c>
    </row>
    <row r="5" spans="1:5" ht="24" customHeight="1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ht="24" x14ac:dyDescent="0.25">
      <c r="A6" s="5" t="s">
        <v>8</v>
      </c>
      <c r="B6" s="5" t="s">
        <v>9</v>
      </c>
      <c r="C6" s="5" t="s">
        <v>10</v>
      </c>
      <c r="D6" s="5" t="s">
        <v>11</v>
      </c>
      <c r="E6" s="5" t="s">
        <v>12</v>
      </c>
    </row>
    <row r="7" spans="1:5" ht="78" customHeight="1" x14ac:dyDescent="0.25">
      <c r="A7" s="6" t="s">
        <v>13</v>
      </c>
      <c r="B7" s="7" t="s">
        <v>14</v>
      </c>
      <c r="C7" s="8" t="s">
        <v>35</v>
      </c>
      <c r="D7" s="8" t="s">
        <v>37</v>
      </c>
      <c r="E7" s="8" t="s">
        <v>36</v>
      </c>
    </row>
    <row r="8" spans="1:5" ht="78" customHeight="1" x14ac:dyDescent="0.25">
      <c r="A8" s="6" t="s">
        <v>15</v>
      </c>
      <c r="B8" s="7" t="s">
        <v>16</v>
      </c>
      <c r="C8" s="8" t="s">
        <v>38</v>
      </c>
      <c r="D8" s="8" t="s">
        <v>39</v>
      </c>
      <c r="E8" s="9">
        <f>'Cálculo opção 2'!B9</f>
        <v>14967.749999999998</v>
      </c>
    </row>
    <row r="9" spans="1:5" ht="78" customHeight="1" x14ac:dyDescent="0.25">
      <c r="A9" s="6" t="s">
        <v>17</v>
      </c>
      <c r="B9" s="7" t="s">
        <v>18</v>
      </c>
      <c r="C9" s="8" t="s">
        <v>40</v>
      </c>
      <c r="D9" s="8" t="s">
        <v>41</v>
      </c>
      <c r="E9" s="8"/>
    </row>
    <row r="11" spans="1:5" x14ac:dyDescent="0.25">
      <c r="A11" s="10" t="s">
        <v>19</v>
      </c>
      <c r="B11" s="1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zoomScaleNormal="100" workbookViewId="0">
      <selection activeCell="C10" sqref="C10"/>
    </sheetView>
  </sheetViews>
  <sheetFormatPr defaultColWidth="8.7109375" defaultRowHeight="15" x14ac:dyDescent="0.25"/>
  <cols>
    <col min="1" max="1" width="46" customWidth="1"/>
    <col min="2" max="2" width="18" customWidth="1"/>
    <col min="3" max="3" width="44" customWidth="1"/>
  </cols>
  <sheetData>
    <row r="1" spans="1:3" ht="16.5" x14ac:dyDescent="0.25">
      <c r="A1" s="1" t="s">
        <v>20</v>
      </c>
    </row>
    <row r="2" spans="1:3" x14ac:dyDescent="0.25">
      <c r="A2" s="3" t="s">
        <v>21</v>
      </c>
    </row>
    <row r="4" spans="1:3" x14ac:dyDescent="0.25">
      <c r="A4" s="2" t="s">
        <v>22</v>
      </c>
      <c r="B4" s="12">
        <v>1438.51</v>
      </c>
      <c r="C4" s="3" t="s">
        <v>23</v>
      </c>
    </row>
    <row r="5" spans="1:3" x14ac:dyDescent="0.25">
      <c r="A5" s="2" t="s">
        <v>24</v>
      </c>
      <c r="B5" s="12">
        <v>440.66</v>
      </c>
      <c r="C5" s="3" t="s">
        <v>25</v>
      </c>
    </row>
    <row r="6" spans="1:3" x14ac:dyDescent="0.25">
      <c r="A6" s="2" t="s">
        <v>26</v>
      </c>
      <c r="B6" s="13">
        <v>15</v>
      </c>
      <c r="C6" s="3" t="s">
        <v>27</v>
      </c>
    </row>
    <row r="7" spans="1:3" x14ac:dyDescent="0.25">
      <c r="A7" s="2" t="s">
        <v>28</v>
      </c>
      <c r="B7" s="13">
        <v>37</v>
      </c>
      <c r="C7" s="3" t="s">
        <v>29</v>
      </c>
    </row>
    <row r="8" spans="1:3" x14ac:dyDescent="0.25">
      <c r="A8" s="2" t="s">
        <v>30</v>
      </c>
      <c r="B8" s="14">
        <f>B4-B5</f>
        <v>997.84999999999991</v>
      </c>
    </row>
    <row r="9" spans="1:3" x14ac:dyDescent="0.25">
      <c r="A9" s="10" t="s">
        <v>31</v>
      </c>
      <c r="B9" s="15">
        <f>B8*B6</f>
        <v>14967.749999999998</v>
      </c>
    </row>
    <row r="10" spans="1:3" x14ac:dyDescent="0.25">
      <c r="A10" s="2" t="s">
        <v>32</v>
      </c>
      <c r="B10" s="16">
        <f>B9/B7</f>
        <v>404.53378378378375</v>
      </c>
    </row>
    <row r="11" spans="1:3" x14ac:dyDescent="0.25">
      <c r="A11" s="2" t="s">
        <v>33</v>
      </c>
      <c r="B11" s="16">
        <f>B10/B6</f>
        <v>26.968918918918916</v>
      </c>
    </row>
    <row r="13" spans="1:3" x14ac:dyDescent="0.25">
      <c r="A13" s="3" t="s">
        <v>34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Opções</vt:lpstr>
      <vt:lpstr>Cálculo opção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Luiz Fernando Gali Ferreira</cp:lastModifiedBy>
  <cp:revision>0</cp:revision>
  <dcterms:created xsi:type="dcterms:W3CDTF">2026-10-28T00:36:19Z</dcterms:created>
  <dcterms:modified xsi:type="dcterms:W3CDTF">2026-10-28T01:07:55Z</dcterms:modified>
  <dc:language>en-US</dc:language>
</cp:coreProperties>
</file>